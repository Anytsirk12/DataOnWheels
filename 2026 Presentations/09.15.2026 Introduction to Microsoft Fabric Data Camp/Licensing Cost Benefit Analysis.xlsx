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werpivotpro0.sharepoint.com/sites/Projects/Shared Documents/Soleo Health Holdings, Inc/Documentation/009 - Incentives Follow On/"/>
    </mc:Choice>
  </mc:AlternateContent>
  <xr:revisionPtr revIDLastSave="358" documentId="8_{E0977713-066D-410D-98ED-8B125E6A7100}" xr6:coauthVersionLast="47" xr6:coauthVersionMax="47" xr10:uidLastSave="{458B49C0-8945-4F90-BC2F-B546714A6108}"/>
  <bookViews>
    <workbookView xWindow="28680" yWindow="-120" windowWidth="29040" windowHeight="15840" xr2:uid="{E271D11E-585E-4FBC-9BCA-37DEEC41D7AC}"/>
  </bookViews>
  <sheets>
    <sheet name="Cost Analysis" sheetId="1" r:id="rId1"/>
    <sheet name="Users" sheetId="2" r:id="rId2"/>
    <sheet name="Diagram_ComplexAccess" sheetId="5" r:id="rId3"/>
    <sheet name="Notes" sheetId="4" r:id="rId4"/>
  </sheets>
  <definedNames>
    <definedName name="Amt_PPU_Users">'Cost Analysis'!$D$12</definedName>
    <definedName name="Amt_ProUsers">'Cost Analysis'!$D$11</definedName>
    <definedName name="Amt_UsersFinance">'Cost Analysis'!$D$5</definedName>
    <definedName name="Amt_UsersIT">'Cost Analysis'!$D$4</definedName>
    <definedName name="AmtProMonthly">'Cost Analysis'!$F$11</definedName>
    <definedName name="AmtTotalUsers">'Cost Analysis'!$D$13</definedName>
    <definedName name="F2_PayAsYouGo_Monthly">'Cost Analysis'!$G$17</definedName>
    <definedName name="F2_Reservation_Monthly">'Cost Analysis'!$G$27</definedName>
    <definedName name="F4_PayAsYouGo_Monthly">'Cost Analysis'!$G$18</definedName>
    <definedName name="F4_Reservation_Monthly">'Cost Analysis'!$G$28</definedName>
    <definedName name="F8_PayAsYouGo_Monthly">'Cost Analysis'!$G$20</definedName>
    <definedName name="F8_Reservation_Monthly">'Cost Analysis'!$G$29</definedName>
    <definedName name="PPU_MonthlyCost">'Cost Analysis'!$B$12</definedName>
    <definedName name="Pro_MonthlyCost">'Cost Analysis'!$B$11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11" i="1"/>
  <c r="F11" i="1" s="1"/>
  <c r="H11" i="1" s="1"/>
  <c r="I11" i="1" s="1"/>
  <c r="D5" i="1"/>
  <c r="D4" i="1"/>
  <c r="F34" i="1" l="1"/>
  <c r="H34" i="1" s="1"/>
  <c r="I34" i="1" s="1"/>
  <c r="F24" i="1"/>
  <c r="H24" i="1" s="1"/>
  <c r="I24" i="1" s="1"/>
  <c r="F23" i="1"/>
  <c r="H23" i="1" s="1"/>
  <c r="I23" i="1" s="1"/>
  <c r="F22" i="1"/>
  <c r="H22" i="1" s="1"/>
  <c r="I22" i="1" s="1"/>
  <c r="F32" i="1"/>
  <c r="H32" i="1" s="1"/>
  <c r="I32" i="1" s="1"/>
  <c r="F33" i="1"/>
  <c r="H33" i="1" s="1"/>
  <c r="I33" i="1" s="1"/>
  <c r="D12" i="1"/>
  <c r="F12" i="1" s="1"/>
  <c r="H12" i="1" s="1"/>
  <c r="I12" i="1" s="1"/>
  <c r="F13" i="1" l="1"/>
  <c r="H13" i="1" s="1"/>
  <c r="I13" i="1" s="1"/>
  <c r="D13" i="1"/>
  <c r="F31" i="1" s="1"/>
  <c r="H31" i="1" s="1"/>
  <c r="I31" i="1" s="1"/>
  <c r="F18" i="1" l="1"/>
  <c r="H18" i="1" s="1"/>
  <c r="I18" i="1" s="1"/>
  <c r="F27" i="1"/>
  <c r="H27" i="1" s="1"/>
  <c r="I27" i="1" s="1"/>
  <c r="F29" i="1"/>
  <c r="H29" i="1" s="1"/>
  <c r="I29" i="1" s="1"/>
  <c r="F30" i="1"/>
  <c r="H30" i="1" s="1"/>
  <c r="I30" i="1" s="1"/>
  <c r="F20" i="1"/>
  <c r="H20" i="1" s="1"/>
  <c r="I20" i="1" s="1"/>
  <c r="F19" i="1"/>
  <c r="H19" i="1" s="1"/>
  <c r="I19" i="1" s="1"/>
  <c r="F17" i="1"/>
  <c r="H17" i="1" s="1"/>
  <c r="I17" i="1" s="1"/>
  <c r="F21" i="1"/>
  <c r="H21" i="1" s="1"/>
  <c r="I21" i="1" s="1"/>
  <c r="F28" i="1"/>
  <c r="H28" i="1" s="1"/>
  <c r="I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Hecht</author>
  </authors>
  <commentList>
    <comment ref="A11" authorId="0" shapeId="0" xr:uid="{070843CA-0AA8-48FB-81FC-A7BFBCDE885C}">
      <text>
        <r>
          <rPr>
            <b/>
            <sz val="9"/>
            <color indexed="81"/>
            <rFont val="Tahoma"/>
            <family val="2"/>
          </rPr>
          <t>Matthew Hecht:</t>
        </r>
        <r>
          <rPr>
            <sz val="9"/>
            <color indexed="81"/>
            <rFont val="Tahoma"/>
            <family val="2"/>
          </rPr>
          <t xml:space="preserve">
- Can access content if in workspace as a contributor
- Can access content in workspace if access granted at the Semantic Model level
</t>
        </r>
      </text>
    </comment>
    <comment ref="A16" authorId="0" shapeId="0" xr:uid="{4ADE14F7-68CC-4C13-9E47-4FEA325D6B86}">
      <text>
        <r>
          <rPr>
            <b/>
            <sz val="9"/>
            <color indexed="81"/>
            <rFont val="Tahoma"/>
            <family val="2"/>
          </rPr>
          <t>Matthew Hecht:</t>
        </r>
        <r>
          <rPr>
            <sz val="9"/>
            <color indexed="81"/>
            <rFont val="Tahoma"/>
            <family val="2"/>
          </rPr>
          <t xml:space="preserve">
Pay as you go - you can pause it. Monitoring capabilities, automated to manage when it's on or not.
</t>
        </r>
      </text>
    </comment>
    <comment ref="A26" authorId="0" shapeId="0" xr:uid="{94DDB51E-FE0B-4B6E-A28D-7AAC65E47620}">
      <text>
        <r>
          <rPr>
            <b/>
            <sz val="9"/>
            <color indexed="81"/>
            <rFont val="Tahoma"/>
            <family val="2"/>
          </rPr>
          <t>Matthew Hecht:</t>
        </r>
        <r>
          <rPr>
            <sz val="9"/>
            <color indexed="81"/>
            <rFont val="Tahoma"/>
            <family val="2"/>
          </rPr>
          <t xml:space="preserve">
Reservation - buying a coupon. Amount of capacity you want as a coupon. Don't have to use it, but you will pay for the reservation. (40% discount). When need to look at report any time of day. Split capacities. F4 and two F2's are equivalent. Pro/Dev environment.
</t>
        </r>
      </text>
    </comment>
  </commentList>
</comments>
</file>

<file path=xl/sharedStrings.xml><?xml version="1.0" encoding="utf-8"?>
<sst xmlns="http://schemas.openxmlformats.org/spreadsheetml/2006/main" count="131" uniqueCount="67">
  <si>
    <t>Power BI Pro</t>
  </si>
  <si>
    <t>Fabric F2</t>
  </si>
  <si>
    <t>Fabric F4</t>
  </si>
  <si>
    <t>Fabric F8</t>
  </si>
  <si>
    <t>Capacity Based</t>
  </si>
  <si>
    <t>Pay-as-you-go</t>
  </si>
  <si>
    <t>Reservation</t>
  </si>
  <si>
    <t>Cost per user</t>
  </si>
  <si>
    <t>Name</t>
  </si>
  <si>
    <t>Benjamin Bier</t>
  </si>
  <si>
    <t>Erin Davis</t>
  </si>
  <si>
    <t>Julie Anglemyer</t>
  </si>
  <si>
    <t>Kevin Noonan</t>
  </si>
  <si>
    <t>Mary Woodward</t>
  </si>
  <si>
    <t>Neil Richter</t>
  </si>
  <si>
    <t>Vani Sastry</t>
  </si>
  <si>
    <t>Sharon Neuman</t>
  </si>
  <si>
    <t>Leigh Ann</t>
  </si>
  <si>
    <t>Group</t>
  </si>
  <si>
    <t>P3</t>
  </si>
  <si>
    <t>PowerBI</t>
  </si>
  <si>
    <t>PPU</t>
  </si>
  <si>
    <t>PPU/PRO</t>
  </si>
  <si>
    <t>Charles Schutte</t>
  </si>
  <si>
    <t>Komla Ahlijah</t>
  </si>
  <si>
    <t>IT</t>
  </si>
  <si>
    <t>Shreayaa Raghuram</t>
  </si>
  <si>
    <t>Noah Cass</t>
  </si>
  <si>
    <t>Finance</t>
  </si>
  <si>
    <t>Brandon Lynch</t>
  </si>
  <si>
    <t>David Kelly</t>
  </si>
  <si>
    <t>Alessandro Sicurello</t>
  </si>
  <si>
    <t>Sadaf Moosa</t>
  </si>
  <si>
    <t>Drew Doyle</t>
  </si>
  <si>
    <t>Sales</t>
  </si>
  <si>
    <t>Pro</t>
  </si>
  <si>
    <t>RVP 3</t>
  </si>
  <si>
    <t>RVP 4</t>
  </si>
  <si>
    <t>RVP 5</t>
  </si>
  <si>
    <t>RVP 6</t>
  </si>
  <si>
    <t>RVP 7</t>
  </si>
  <si>
    <t>RVP 8</t>
  </si>
  <si>
    <t>RVP 9</t>
  </si>
  <si>
    <t>Matt</t>
  </si>
  <si>
    <t>Susan</t>
  </si>
  <si>
    <t>Users</t>
  </si>
  <si>
    <t>Monthly Cost - User</t>
  </si>
  <si>
    <t>below F64, folks still need pro to view</t>
  </si>
  <si>
    <t>Monthly Cost - Capacity</t>
  </si>
  <si>
    <t>Premium Per User (F192)</t>
  </si>
  <si>
    <t>Fabric F16</t>
  </si>
  <si>
    <t>Fabric F32</t>
  </si>
  <si>
    <t>Fabric F64</t>
  </si>
  <si>
    <t>Fabric F128</t>
  </si>
  <si>
    <t>Total Monthly Cost</t>
  </si>
  <si>
    <t>Fabric F256</t>
  </si>
  <si>
    <t>IT &amp; P3 Adaptive</t>
  </si>
  <si>
    <t>PPU / PRO</t>
  </si>
  <si>
    <t>Sales Team (Drew)</t>
  </si>
  <si>
    <t>40% discount, locked in for the year</t>
  </si>
  <si>
    <t>PRO</t>
  </si>
  <si>
    <t>Amt Users</t>
  </si>
  <si>
    <t>Total Annual Cost</t>
  </si>
  <si>
    <t>Per User Based</t>
  </si>
  <si>
    <t>Power BI Licensing Strategy</t>
  </si>
  <si>
    <t>pro users only to create content. Co-pilot enabled</t>
  </si>
  <si>
    <t>Additional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</si>
</sst>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&quot;per mo.&quot;;[Red]\(&quot;$&quot;#,##0\)&quot; per mo.&quot;"/>
    <numFmt numFmtId="165" formatCode="&quot;$&quot;#,##0_)&quot;per mo. per user&quot;;[Red]\(&quot;$&quot;#,##0\)&quot; per mo. per user&quot;"/>
    <numFmt numFmtId="166" formatCode="#,##0&quot; users&quot;"/>
    <numFmt numFmtId="174" formatCode="&quot;$&quot;#,##0_)&quot;per yr.&quot;;[Red]\(&quot;$&quot;#,##0\)&quot; per yr.&quot;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0" fillId="0" borderId="3" xfId="0" applyBorder="1" applyAlignment="1">
      <alignment horizontal="left" indent="1"/>
    </xf>
    <xf numFmtId="0" fontId="0" fillId="0" borderId="3" xfId="0" applyBorder="1"/>
    <xf numFmtId="164" fontId="0" fillId="0" borderId="3" xfId="0" applyNumberForma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/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164" fontId="0" fillId="0" borderId="1" xfId="0" applyNumberFormat="1" applyBorder="1"/>
    <xf numFmtId="0" fontId="1" fillId="0" borderId="0" xfId="0" applyFont="1" applyBorder="1"/>
    <xf numFmtId="165" fontId="0" fillId="0" borderId="0" xfId="0" applyNumberFormat="1" applyBorder="1"/>
    <xf numFmtId="0" fontId="0" fillId="0" borderId="0" xfId="0" applyBorder="1"/>
    <xf numFmtId="166" fontId="0" fillId="0" borderId="0" xfId="0" applyNumberFormat="1" applyBorder="1"/>
    <xf numFmtId="164" fontId="0" fillId="0" borderId="0" xfId="0" applyNumberFormat="1" applyBorder="1"/>
    <xf numFmtId="0" fontId="0" fillId="0" borderId="0" xfId="0" applyBorder="1" applyAlignment="1">
      <alignment horizontal="left" inden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indent="1"/>
    </xf>
    <xf numFmtId="0" fontId="0" fillId="2" borderId="0" xfId="0" applyFill="1" applyAlignment="1">
      <alignment horizontal="left" indent="1"/>
    </xf>
    <xf numFmtId="0" fontId="0" fillId="2" borderId="0" xfId="0" applyFill="1" applyBorder="1" applyAlignment="1">
      <alignment horizontal="left" indent="1"/>
    </xf>
    <xf numFmtId="0" fontId="0" fillId="3" borderId="0" xfId="0" applyFill="1" applyBorder="1" applyAlignment="1">
      <alignment horizontal="left" indent="1"/>
    </xf>
    <xf numFmtId="0" fontId="0" fillId="3" borderId="3" xfId="0" applyFill="1" applyBorder="1" applyAlignment="1">
      <alignment horizontal="left" indent="1"/>
    </xf>
    <xf numFmtId="0" fontId="2" fillId="3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6" xfId="0" applyBorder="1" applyAlignment="1">
      <alignment horizontal="left" indent="1"/>
    </xf>
    <xf numFmtId="0" fontId="0" fillId="0" borderId="7" xfId="0" applyBorder="1"/>
    <xf numFmtId="0" fontId="0" fillId="0" borderId="8" xfId="0" applyBorder="1" applyAlignment="1">
      <alignment horizontal="left" indent="1"/>
    </xf>
    <xf numFmtId="0" fontId="0" fillId="0" borderId="9" xfId="0" applyBorder="1"/>
    <xf numFmtId="174" fontId="0" fillId="0" borderId="1" xfId="0" applyNumberFormat="1" applyBorder="1"/>
    <xf numFmtId="174" fontId="0" fillId="0" borderId="0" xfId="0" applyNumberFormat="1" applyBorder="1"/>
    <xf numFmtId="174" fontId="0" fillId="0" borderId="2" xfId="0" applyNumberFormat="1" applyBorder="1"/>
    <xf numFmtId="174" fontId="0" fillId="0" borderId="3" xfId="0" applyNumberFormat="1" applyBorder="1"/>
    <xf numFmtId="164" fontId="0" fillId="0" borderId="0" xfId="0" applyNumberFormat="1" applyFill="1" applyBorder="1"/>
    <xf numFmtId="164" fontId="0" fillId="0" borderId="3" xfId="0" applyNumberFormat="1" applyFill="1" applyBorder="1"/>
    <xf numFmtId="0" fontId="4" fillId="0" borderId="0" xfId="0" applyFont="1"/>
    <xf numFmtId="0" fontId="5" fillId="0" borderId="0" xfId="0" applyFont="1"/>
    <xf numFmtId="0" fontId="8" fillId="4" borderId="4" xfId="0" applyFont="1" applyFill="1" applyBorder="1"/>
    <xf numFmtId="0" fontId="9" fillId="4" borderId="2" xfId="0" applyFont="1" applyFill="1" applyBorder="1"/>
    <xf numFmtId="0" fontId="9" fillId="4" borderId="5" xfId="0" applyFont="1" applyFill="1" applyBorder="1"/>
    <xf numFmtId="17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1</xdr:row>
      <xdr:rowOff>28575</xdr:rowOff>
    </xdr:from>
    <xdr:to>
      <xdr:col>20</xdr:col>
      <xdr:colOff>538738</xdr:colOff>
      <xdr:row>20</xdr:row>
      <xdr:rowOff>6252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D1A14A-6F29-4FEF-B923-19D21759A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219075"/>
          <a:ext cx="12435463" cy="359717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1</xdr:row>
      <xdr:rowOff>76200</xdr:rowOff>
    </xdr:from>
    <xdr:to>
      <xdr:col>6</xdr:col>
      <xdr:colOff>152400</xdr:colOff>
      <xdr:row>12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69F8D2-58FC-49B4-B2A5-899E3B42C53F}"/>
            </a:ext>
          </a:extLst>
        </xdr:cNvPr>
        <xdr:cNvSpPr txBox="1"/>
      </xdr:nvSpPr>
      <xdr:spPr>
        <a:xfrm>
          <a:off x="295275" y="266700"/>
          <a:ext cx="3514725" cy="207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Fabric</a:t>
          </a:r>
          <a:r>
            <a:rPr lang="en-US" sz="1100" kern="1200" baseline="0"/>
            <a:t> Trial, 30 days before content is lost when  trial expires.</a:t>
          </a:r>
        </a:p>
        <a:p>
          <a:endParaRPr lang="en-US" sz="1100" kern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Viewer to workspace access can take a lot of time to have permissions go through</a:t>
          </a:r>
          <a:endParaRPr lang="en-US">
            <a:effectLst/>
          </a:endParaRPr>
        </a:p>
        <a:p>
          <a:endParaRPr lang="en-US" sz="1100" kern="1200" baseline="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3CE778-8199-4DB7-8445-4988A8A22993}" name="Users" displayName="Users" ref="A1:C29" totalsRowShown="0">
  <autoFilter ref="A1:C29" xr:uid="{183CE778-8199-4DB7-8445-4988A8A22993}"/>
  <tableColumns count="3">
    <tableColumn id="1" xr3:uid="{0A96A63C-D0EB-4F1D-9F08-A922735936A6}" name="Name"/>
    <tableColumn id="2" xr3:uid="{0022EC4C-BE54-439A-AECD-58B25958B86D}" name="Group"/>
    <tableColumn id="3" xr3:uid="{E1BD7226-5F93-4E9B-8530-E0CE96DA173C}" name="PPU/P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7E8A-EA16-44E8-B916-6DE2AC9C4DB6}">
  <dimension ref="A1:I34"/>
  <sheetViews>
    <sheetView showGridLines="0" tabSelected="1" workbookViewId="0">
      <selection activeCell="D16" sqref="D16"/>
    </sheetView>
  </sheetViews>
  <sheetFormatPr defaultRowHeight="15" x14ac:dyDescent="0.25"/>
  <cols>
    <col min="1" max="1" width="22.85546875" bestFit="1" customWidth="1"/>
    <col min="2" max="2" width="19.28515625" bestFit="1" customWidth="1"/>
    <col min="3" max="3" width="2.42578125" customWidth="1"/>
    <col min="4" max="4" width="16.28515625" customWidth="1"/>
    <col min="5" max="5" width="3.140625" customWidth="1"/>
    <col min="6" max="6" width="19" bestFit="1" customWidth="1"/>
    <col min="7" max="7" width="22.85546875" bestFit="1" customWidth="1"/>
    <col min="8" max="8" width="20" customWidth="1"/>
    <col min="9" max="9" width="23.7109375" customWidth="1"/>
  </cols>
  <sheetData>
    <row r="1" spans="1:9" ht="24" x14ac:dyDescent="0.4">
      <c r="A1" s="41" t="s">
        <v>64</v>
      </c>
    </row>
    <row r="3" spans="1:9" x14ac:dyDescent="0.25">
      <c r="A3" s="42" t="s">
        <v>45</v>
      </c>
      <c r="B3" s="43" t="s">
        <v>57</v>
      </c>
      <c r="C3" s="43"/>
      <c r="D3" s="44" t="s">
        <v>61</v>
      </c>
    </row>
    <row r="4" spans="1:9" x14ac:dyDescent="0.25">
      <c r="A4" s="30" t="s">
        <v>56</v>
      </c>
      <c r="B4" s="19" t="s">
        <v>21</v>
      </c>
      <c r="C4" s="16"/>
      <c r="D4" s="31">
        <f>COUNTIF(Users[Group],"IT")+COUNTIF(Users[Group],"P3")</f>
        <v>6</v>
      </c>
    </row>
    <row r="5" spans="1:9" x14ac:dyDescent="0.25">
      <c r="A5" s="30" t="s">
        <v>28</v>
      </c>
      <c r="B5" s="19" t="s">
        <v>21</v>
      </c>
      <c r="C5" s="16"/>
      <c r="D5" s="31">
        <f>COUNTIF(Users[Group],"Finance")</f>
        <v>12</v>
      </c>
    </row>
    <row r="6" spans="1:9" x14ac:dyDescent="0.25">
      <c r="A6" s="30" t="s">
        <v>58</v>
      </c>
      <c r="B6" s="19" t="s">
        <v>60</v>
      </c>
      <c r="C6" s="16"/>
      <c r="D6" s="31">
        <f>COUNTIF(Users[Group],"Sales")</f>
        <v>10</v>
      </c>
    </row>
    <row r="7" spans="1:9" x14ac:dyDescent="0.25">
      <c r="A7" s="32" t="s">
        <v>66</v>
      </c>
      <c r="B7" s="4"/>
      <c r="C7" s="5"/>
      <c r="D7" s="33">
        <v>0</v>
      </c>
    </row>
    <row r="8" spans="1:9" x14ac:dyDescent="0.25">
      <c r="A8" s="19"/>
      <c r="B8" s="19"/>
      <c r="C8" s="16"/>
      <c r="D8" s="16"/>
    </row>
    <row r="9" spans="1:9" ht="18.75" x14ac:dyDescent="0.3">
      <c r="A9" s="40" t="s">
        <v>63</v>
      </c>
    </row>
    <row r="10" spans="1:9" x14ac:dyDescent="0.25">
      <c r="B10" s="8" t="s">
        <v>7</v>
      </c>
      <c r="C10" s="8"/>
      <c r="D10" s="8" t="s">
        <v>45</v>
      </c>
      <c r="E10" s="8"/>
      <c r="F10" s="8" t="s">
        <v>46</v>
      </c>
      <c r="G10" s="8" t="s">
        <v>48</v>
      </c>
      <c r="H10" s="8" t="s">
        <v>54</v>
      </c>
      <c r="I10" s="8" t="s">
        <v>62</v>
      </c>
    </row>
    <row r="11" spans="1:9" x14ac:dyDescent="0.25">
      <c r="A11" s="9" t="s">
        <v>0</v>
      </c>
      <c r="B11" s="10">
        <v>14</v>
      </c>
      <c r="C11" s="11"/>
      <c r="D11" s="12">
        <f>SUMIF(B4:B7,"PRO",D4:D7)</f>
        <v>10</v>
      </c>
      <c r="E11" s="11"/>
      <c r="F11" s="13">
        <f>B11*D11</f>
        <v>140</v>
      </c>
      <c r="G11" s="13">
        <v>0</v>
      </c>
      <c r="H11" s="13">
        <f>AmtProMonthly</f>
        <v>140</v>
      </c>
      <c r="I11" s="34">
        <f>H11*12</f>
        <v>1680</v>
      </c>
    </row>
    <row r="12" spans="1:9" x14ac:dyDescent="0.25">
      <c r="A12" s="9" t="s">
        <v>49</v>
      </c>
      <c r="B12" s="10">
        <v>24</v>
      </c>
      <c r="C12" s="11"/>
      <c r="D12" s="12">
        <f>SUMIF(B4:B7,"PPU",D4:D7)</f>
        <v>18</v>
      </c>
      <c r="E12" s="11"/>
      <c r="F12" s="13">
        <f>B12*D12</f>
        <v>432</v>
      </c>
      <c r="G12" s="13">
        <v>0</v>
      </c>
      <c r="H12" s="13">
        <f>F12</f>
        <v>432</v>
      </c>
      <c r="I12" s="34">
        <f t="shared" ref="I12:I13" si="0">H12*12</f>
        <v>5184</v>
      </c>
    </row>
    <row r="13" spans="1:9" x14ac:dyDescent="0.25">
      <c r="A13" s="14"/>
      <c r="B13" s="15"/>
      <c r="C13" s="16"/>
      <c r="D13" s="17">
        <f>Amt_PPU_Users+Amt_ProUsers</f>
        <v>28</v>
      </c>
      <c r="E13" s="16"/>
      <c r="F13" s="18">
        <f>F12+F11</f>
        <v>572</v>
      </c>
      <c r="G13" s="18"/>
      <c r="H13" s="18">
        <f>F13</f>
        <v>572</v>
      </c>
      <c r="I13" s="45">
        <f t="shared" si="0"/>
        <v>6864</v>
      </c>
    </row>
    <row r="14" spans="1:9" ht="8.25" customHeight="1" x14ac:dyDescent="0.25">
      <c r="G14" s="1"/>
      <c r="H14" s="1"/>
    </row>
    <row r="15" spans="1:9" ht="18.75" x14ac:dyDescent="0.3">
      <c r="A15" s="40" t="s">
        <v>4</v>
      </c>
      <c r="G15" s="1"/>
      <c r="H15" s="1"/>
    </row>
    <row r="16" spans="1:9" x14ac:dyDescent="0.25">
      <c r="A16" s="8" t="s">
        <v>5</v>
      </c>
      <c r="G16" s="1"/>
      <c r="H16" s="1"/>
    </row>
    <row r="17" spans="1:9" ht="15" customHeight="1" x14ac:dyDescent="0.25">
      <c r="A17" s="22" t="s">
        <v>1</v>
      </c>
      <c r="B17" s="2"/>
      <c r="C17" s="2"/>
      <c r="D17" s="20" t="s">
        <v>47</v>
      </c>
      <c r="E17" s="2"/>
      <c r="F17" s="3">
        <f>AmtTotalUsers*Pro_MonthlyCost</f>
        <v>392</v>
      </c>
      <c r="G17" s="3">
        <v>262.8</v>
      </c>
      <c r="H17" s="3">
        <f>F2_PayAsYouGo_Monthly+F17</f>
        <v>654.79999999999995</v>
      </c>
      <c r="I17" s="36">
        <f>H17*12</f>
        <v>7857.5999999999995</v>
      </c>
    </row>
    <row r="18" spans="1:9" x14ac:dyDescent="0.25">
      <c r="A18" s="23" t="s">
        <v>2</v>
      </c>
      <c r="D18" s="21"/>
      <c r="F18" s="18">
        <f>AmtTotalUsers*Pro_MonthlyCost</f>
        <v>392</v>
      </c>
      <c r="G18" s="1">
        <v>525.6</v>
      </c>
      <c r="H18" s="1">
        <f>F4_PayAsYouGo_Monthly+F18</f>
        <v>917.6</v>
      </c>
      <c r="I18" s="35">
        <f t="shared" ref="I18:I24" si="1">H18*12</f>
        <v>11011.2</v>
      </c>
    </row>
    <row r="19" spans="1:9" x14ac:dyDescent="0.25">
      <c r="A19" s="24" t="s">
        <v>3</v>
      </c>
      <c r="D19" s="21"/>
      <c r="F19" s="18">
        <f>AmtTotalUsers*Pro_MonthlyCost</f>
        <v>392</v>
      </c>
      <c r="G19" s="1">
        <v>1051.2</v>
      </c>
      <c r="H19" s="1">
        <f>G19+F19</f>
        <v>1443.2</v>
      </c>
      <c r="I19" s="35">
        <f t="shared" si="1"/>
        <v>17318.400000000001</v>
      </c>
    </row>
    <row r="20" spans="1:9" x14ac:dyDescent="0.25">
      <c r="A20" s="24" t="s">
        <v>50</v>
      </c>
      <c r="B20" s="16"/>
      <c r="C20" s="16"/>
      <c r="D20" s="21"/>
      <c r="E20" s="16"/>
      <c r="F20" s="18">
        <f>AmtTotalUsers*Pro_MonthlyCost</f>
        <v>392</v>
      </c>
      <c r="G20" s="18">
        <v>2102.4</v>
      </c>
      <c r="H20" s="1">
        <f t="shared" ref="H20:H24" si="2">G20+F20</f>
        <v>2494.4</v>
      </c>
      <c r="I20" s="35">
        <f t="shared" si="1"/>
        <v>29932.800000000003</v>
      </c>
    </row>
    <row r="21" spans="1:9" x14ac:dyDescent="0.25">
      <c r="A21" s="24" t="s">
        <v>51</v>
      </c>
      <c r="B21" s="16"/>
      <c r="C21" s="16"/>
      <c r="D21" s="21"/>
      <c r="E21" s="16"/>
      <c r="F21" s="18">
        <f>AmtTotalUsers*Pro_MonthlyCost</f>
        <v>392</v>
      </c>
      <c r="G21" s="18">
        <v>4204.8</v>
      </c>
      <c r="H21" s="1">
        <f t="shared" si="2"/>
        <v>4596.8</v>
      </c>
      <c r="I21" s="35">
        <f t="shared" si="1"/>
        <v>55161.600000000006</v>
      </c>
    </row>
    <row r="22" spans="1:9" ht="15" customHeight="1" x14ac:dyDescent="0.25">
      <c r="A22" s="25" t="s">
        <v>52</v>
      </c>
      <c r="D22" s="27" t="s">
        <v>65</v>
      </c>
      <c r="F22" s="38">
        <f>(Amt_UsersIT+ROUNDUP(Amt_UsersFinance/4,0))*Pro_MonthlyCost</f>
        <v>126</v>
      </c>
      <c r="G22" s="18">
        <v>8409.6</v>
      </c>
      <c r="H22" s="1">
        <f t="shared" si="2"/>
        <v>8535.6</v>
      </c>
      <c r="I22" s="35">
        <f t="shared" si="1"/>
        <v>102427.20000000001</v>
      </c>
    </row>
    <row r="23" spans="1:9" x14ac:dyDescent="0.25">
      <c r="A23" s="25" t="s">
        <v>53</v>
      </c>
      <c r="D23" s="27"/>
      <c r="F23" s="38">
        <f>(Amt_UsersIT+ROUNDUP(Amt_UsersFinance/4,0))*Pro_MonthlyCost</f>
        <v>126</v>
      </c>
      <c r="G23" s="18">
        <v>16819.2</v>
      </c>
      <c r="H23" s="1">
        <f t="shared" si="2"/>
        <v>16945.2</v>
      </c>
      <c r="I23" s="35">
        <f t="shared" si="1"/>
        <v>203342.40000000002</v>
      </c>
    </row>
    <row r="24" spans="1:9" x14ac:dyDescent="0.25">
      <c r="A24" s="26" t="s">
        <v>55</v>
      </c>
      <c r="B24" s="5"/>
      <c r="C24" s="5"/>
      <c r="D24" s="28"/>
      <c r="E24" s="5"/>
      <c r="F24" s="39">
        <f>(Amt_UsersIT+ROUNDUP(Amt_UsersFinance/4,0))*Pro_MonthlyCost</f>
        <v>126</v>
      </c>
      <c r="G24" s="6">
        <v>33638.400000000001</v>
      </c>
      <c r="H24" s="6">
        <f t="shared" si="2"/>
        <v>33764.400000000001</v>
      </c>
      <c r="I24" s="37">
        <f t="shared" si="1"/>
        <v>405172.80000000005</v>
      </c>
    </row>
    <row r="25" spans="1:9" x14ac:dyDescent="0.25">
      <c r="A25" s="16"/>
      <c r="B25" s="16"/>
      <c r="C25" s="16"/>
      <c r="D25" s="16"/>
      <c r="E25" s="16"/>
      <c r="F25" s="16"/>
      <c r="G25" s="16"/>
      <c r="H25" s="16"/>
    </row>
    <row r="26" spans="1:9" x14ac:dyDescent="0.25">
      <c r="A26" s="7" t="s">
        <v>6</v>
      </c>
      <c r="B26" s="29" t="s">
        <v>59</v>
      </c>
    </row>
    <row r="27" spans="1:9" ht="15" customHeight="1" x14ac:dyDescent="0.25">
      <c r="A27" s="22" t="s">
        <v>1</v>
      </c>
      <c r="B27" s="2"/>
      <c r="C27" s="2"/>
      <c r="D27" s="20" t="s">
        <v>47</v>
      </c>
      <c r="E27" s="2"/>
      <c r="F27" s="3">
        <f>AmtTotalUsers*Pro_MonthlyCost</f>
        <v>392</v>
      </c>
      <c r="G27" s="3">
        <v>156.33000000000001</v>
      </c>
      <c r="H27" s="3">
        <f>F27+G27</f>
        <v>548.33000000000004</v>
      </c>
      <c r="I27" s="36">
        <f>H27*12</f>
        <v>6579.9600000000009</v>
      </c>
    </row>
    <row r="28" spans="1:9" x14ac:dyDescent="0.25">
      <c r="A28" s="23" t="s">
        <v>2</v>
      </c>
      <c r="D28" s="21"/>
      <c r="F28" s="18">
        <f>AmtTotalUsers*Pro_MonthlyCost</f>
        <v>392</v>
      </c>
      <c r="G28" s="1">
        <v>312.67</v>
      </c>
      <c r="H28" s="18">
        <f t="shared" ref="H28:H33" si="3">F28+G28</f>
        <v>704.67000000000007</v>
      </c>
      <c r="I28" s="35">
        <f t="shared" ref="I28:I34" si="4">H28*12</f>
        <v>8456.0400000000009</v>
      </c>
    </row>
    <row r="29" spans="1:9" x14ac:dyDescent="0.25">
      <c r="A29" s="24" t="s">
        <v>3</v>
      </c>
      <c r="D29" s="21"/>
      <c r="F29" s="18">
        <f>AmtTotalUsers*Pro_MonthlyCost</f>
        <v>392</v>
      </c>
      <c r="G29" s="1">
        <v>625.33000000000004</v>
      </c>
      <c r="H29" s="18">
        <f t="shared" si="3"/>
        <v>1017.33</v>
      </c>
      <c r="I29" s="35">
        <f t="shared" si="4"/>
        <v>12207.960000000001</v>
      </c>
    </row>
    <row r="30" spans="1:9" x14ac:dyDescent="0.25">
      <c r="A30" s="24" t="s">
        <v>50</v>
      </c>
      <c r="B30" s="16"/>
      <c r="C30" s="16"/>
      <c r="D30" s="21"/>
      <c r="E30" s="16"/>
      <c r="F30" s="18">
        <f>AmtTotalUsers*Pro_MonthlyCost</f>
        <v>392</v>
      </c>
      <c r="G30" s="18">
        <v>1250.67</v>
      </c>
      <c r="H30" s="18">
        <f t="shared" si="3"/>
        <v>1642.67</v>
      </c>
      <c r="I30" s="35">
        <f t="shared" si="4"/>
        <v>19712.04</v>
      </c>
    </row>
    <row r="31" spans="1:9" x14ac:dyDescent="0.25">
      <c r="A31" s="24" t="s">
        <v>51</v>
      </c>
      <c r="B31" s="16"/>
      <c r="C31" s="16"/>
      <c r="D31" s="21"/>
      <c r="E31" s="16"/>
      <c r="F31" s="18">
        <f>AmtTotalUsers*Pro_MonthlyCost</f>
        <v>392</v>
      </c>
      <c r="G31" s="18">
        <v>2501.33</v>
      </c>
      <c r="H31" s="18">
        <f t="shared" si="3"/>
        <v>2893.33</v>
      </c>
      <c r="I31" s="35">
        <f t="shared" si="4"/>
        <v>34719.96</v>
      </c>
    </row>
    <row r="32" spans="1:9" ht="15" customHeight="1" x14ac:dyDescent="0.25">
      <c r="A32" s="25" t="s">
        <v>52</v>
      </c>
      <c r="D32" s="27" t="s">
        <v>65</v>
      </c>
      <c r="F32" s="38">
        <f>(Amt_UsersIT+ROUNDUP(Amt_UsersFinance/4,0))*Pro_MonthlyCost</f>
        <v>126</v>
      </c>
      <c r="G32" s="18">
        <v>5002.67</v>
      </c>
      <c r="H32" s="18">
        <f t="shared" si="3"/>
        <v>5128.67</v>
      </c>
      <c r="I32" s="35">
        <f t="shared" si="4"/>
        <v>61544.04</v>
      </c>
    </row>
    <row r="33" spans="1:9" x14ac:dyDescent="0.25">
      <c r="A33" s="25" t="s">
        <v>53</v>
      </c>
      <c r="D33" s="27"/>
      <c r="F33" s="38">
        <f>(Amt_UsersIT+ROUNDUP(Amt_UsersFinance/4,0))*Pro_MonthlyCost</f>
        <v>126</v>
      </c>
      <c r="G33" s="18">
        <v>10005.33</v>
      </c>
      <c r="H33" s="18">
        <f t="shared" si="3"/>
        <v>10131.33</v>
      </c>
      <c r="I33" s="35">
        <f t="shared" si="4"/>
        <v>121575.95999999999</v>
      </c>
    </row>
    <row r="34" spans="1:9" x14ac:dyDescent="0.25">
      <c r="A34" s="26" t="s">
        <v>55</v>
      </c>
      <c r="B34" s="5"/>
      <c r="C34" s="5"/>
      <c r="D34" s="28"/>
      <c r="E34" s="5"/>
      <c r="F34" s="39">
        <f>(Amt_UsersIT+ROUNDUP(Amt_UsersFinance/4,0))*Pro_MonthlyCost</f>
        <v>126</v>
      </c>
      <c r="G34" s="6">
        <v>20010.669999999998</v>
      </c>
      <c r="H34" s="6">
        <f>G34+F34</f>
        <v>20136.669999999998</v>
      </c>
      <c r="I34" s="37">
        <f t="shared" si="4"/>
        <v>241640.03999999998</v>
      </c>
    </row>
  </sheetData>
  <mergeCells count="4">
    <mergeCell ref="D32:D34"/>
    <mergeCell ref="D17:D21"/>
    <mergeCell ref="D27:D31"/>
    <mergeCell ref="D22:D24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CB13-34C7-4B58-AC22-8A63C223EEE3}">
  <dimension ref="A1:C29"/>
  <sheetViews>
    <sheetView workbookViewId="0">
      <selection activeCell="C19" sqref="C19"/>
    </sheetView>
  </sheetViews>
  <sheetFormatPr defaultRowHeight="15" x14ac:dyDescent="0.25"/>
  <cols>
    <col min="1" max="1" width="15.42578125" bestFit="1" customWidth="1"/>
    <col min="3" max="3" width="11.140625" customWidth="1"/>
  </cols>
  <sheetData>
    <row r="1" spans="1:3" x14ac:dyDescent="0.25">
      <c r="A1" t="s">
        <v>8</v>
      </c>
      <c r="B1" t="s">
        <v>18</v>
      </c>
      <c r="C1" t="s">
        <v>22</v>
      </c>
    </row>
    <row r="2" spans="1:3" x14ac:dyDescent="0.25">
      <c r="A2" t="s">
        <v>9</v>
      </c>
      <c r="B2" t="s">
        <v>28</v>
      </c>
      <c r="C2" t="s">
        <v>21</v>
      </c>
    </row>
    <row r="3" spans="1:3" x14ac:dyDescent="0.25">
      <c r="A3" t="s">
        <v>10</v>
      </c>
      <c r="B3" t="s">
        <v>28</v>
      </c>
      <c r="C3" t="s">
        <v>21</v>
      </c>
    </row>
    <row r="4" spans="1:3" x14ac:dyDescent="0.25">
      <c r="A4" t="s">
        <v>11</v>
      </c>
      <c r="B4" t="s">
        <v>28</v>
      </c>
      <c r="C4" t="s">
        <v>21</v>
      </c>
    </row>
    <row r="5" spans="1:3" x14ac:dyDescent="0.25">
      <c r="A5" t="s">
        <v>12</v>
      </c>
      <c r="B5" t="s">
        <v>28</v>
      </c>
      <c r="C5" t="s">
        <v>21</v>
      </c>
    </row>
    <row r="6" spans="1:3" x14ac:dyDescent="0.25">
      <c r="A6" t="s">
        <v>13</v>
      </c>
      <c r="B6" t="s">
        <v>28</v>
      </c>
      <c r="C6" t="s">
        <v>21</v>
      </c>
    </row>
    <row r="7" spans="1:3" x14ac:dyDescent="0.25">
      <c r="A7" t="s">
        <v>14</v>
      </c>
      <c r="B7" t="s">
        <v>28</v>
      </c>
      <c r="C7" t="s">
        <v>21</v>
      </c>
    </row>
    <row r="8" spans="1:3" x14ac:dyDescent="0.25">
      <c r="A8" t="s">
        <v>15</v>
      </c>
      <c r="B8" t="s">
        <v>28</v>
      </c>
      <c r="C8" t="s">
        <v>21</v>
      </c>
    </row>
    <row r="9" spans="1:3" x14ac:dyDescent="0.25">
      <c r="A9" t="s">
        <v>16</v>
      </c>
      <c r="B9" t="s">
        <v>25</v>
      </c>
      <c r="C9" t="s">
        <v>21</v>
      </c>
    </row>
    <row r="10" spans="1:3" x14ac:dyDescent="0.25">
      <c r="A10" t="s">
        <v>17</v>
      </c>
      <c r="B10" t="s">
        <v>19</v>
      </c>
      <c r="C10" t="s">
        <v>21</v>
      </c>
    </row>
    <row r="11" spans="1:3" x14ac:dyDescent="0.25">
      <c r="A11" t="s">
        <v>20</v>
      </c>
      <c r="B11" t="s">
        <v>19</v>
      </c>
      <c r="C11" t="s">
        <v>21</v>
      </c>
    </row>
    <row r="12" spans="1:3" x14ac:dyDescent="0.25">
      <c r="A12" t="s">
        <v>23</v>
      </c>
      <c r="B12" t="s">
        <v>25</v>
      </c>
      <c r="C12" t="s">
        <v>21</v>
      </c>
    </row>
    <row r="13" spans="1:3" x14ac:dyDescent="0.25">
      <c r="A13" t="s">
        <v>24</v>
      </c>
      <c r="B13" t="s">
        <v>25</v>
      </c>
      <c r="C13" t="s">
        <v>21</v>
      </c>
    </row>
    <row r="14" spans="1:3" x14ac:dyDescent="0.25">
      <c r="A14" t="s">
        <v>26</v>
      </c>
      <c r="B14" t="s">
        <v>25</v>
      </c>
      <c r="C14" t="s">
        <v>21</v>
      </c>
    </row>
    <row r="15" spans="1:3" x14ac:dyDescent="0.25">
      <c r="A15" t="s">
        <v>27</v>
      </c>
      <c r="B15" t="s">
        <v>28</v>
      </c>
      <c r="C15" t="s">
        <v>21</v>
      </c>
    </row>
    <row r="16" spans="1:3" x14ac:dyDescent="0.25">
      <c r="A16" t="s">
        <v>29</v>
      </c>
      <c r="B16" t="s">
        <v>28</v>
      </c>
      <c r="C16" t="s">
        <v>21</v>
      </c>
    </row>
    <row r="17" spans="1:3" x14ac:dyDescent="0.25">
      <c r="A17" t="s">
        <v>30</v>
      </c>
      <c r="B17" t="s">
        <v>28</v>
      </c>
      <c r="C17" t="s">
        <v>21</v>
      </c>
    </row>
    <row r="18" spans="1:3" x14ac:dyDescent="0.25">
      <c r="A18" t="s">
        <v>31</v>
      </c>
      <c r="B18" t="s">
        <v>28</v>
      </c>
      <c r="C18" t="s">
        <v>21</v>
      </c>
    </row>
    <row r="19" spans="1:3" x14ac:dyDescent="0.25">
      <c r="A19" t="s">
        <v>32</v>
      </c>
      <c r="B19" t="s">
        <v>28</v>
      </c>
      <c r="C19" t="s">
        <v>21</v>
      </c>
    </row>
    <row r="20" spans="1:3" x14ac:dyDescent="0.25">
      <c r="A20" t="s">
        <v>33</v>
      </c>
      <c r="B20" t="s">
        <v>34</v>
      </c>
      <c r="C20" t="s">
        <v>35</v>
      </c>
    </row>
    <row r="21" spans="1:3" x14ac:dyDescent="0.25">
      <c r="A21" t="s">
        <v>43</v>
      </c>
      <c r="B21" t="s">
        <v>34</v>
      </c>
      <c r="C21" t="s">
        <v>35</v>
      </c>
    </row>
    <row r="22" spans="1:3" x14ac:dyDescent="0.25">
      <c r="A22" t="s">
        <v>44</v>
      </c>
      <c r="B22" t="s">
        <v>34</v>
      </c>
      <c r="C22" t="s">
        <v>35</v>
      </c>
    </row>
    <row r="23" spans="1:3" x14ac:dyDescent="0.25">
      <c r="A23" t="s">
        <v>36</v>
      </c>
      <c r="B23" t="s">
        <v>34</v>
      </c>
      <c r="C23" t="s">
        <v>35</v>
      </c>
    </row>
    <row r="24" spans="1:3" x14ac:dyDescent="0.25">
      <c r="A24" t="s">
        <v>37</v>
      </c>
      <c r="B24" t="s">
        <v>34</v>
      </c>
      <c r="C24" t="s">
        <v>35</v>
      </c>
    </row>
    <row r="25" spans="1:3" x14ac:dyDescent="0.25">
      <c r="A25" t="s">
        <v>38</v>
      </c>
      <c r="B25" t="s">
        <v>34</v>
      </c>
      <c r="C25" t="s">
        <v>35</v>
      </c>
    </row>
    <row r="26" spans="1:3" x14ac:dyDescent="0.25">
      <c r="A26" t="s">
        <v>39</v>
      </c>
      <c r="B26" t="s">
        <v>34</v>
      </c>
      <c r="C26" t="s">
        <v>35</v>
      </c>
    </row>
    <row r="27" spans="1:3" x14ac:dyDescent="0.25">
      <c r="A27" t="s">
        <v>40</v>
      </c>
      <c r="B27" t="s">
        <v>34</v>
      </c>
      <c r="C27" t="s">
        <v>35</v>
      </c>
    </row>
    <row r="28" spans="1:3" x14ac:dyDescent="0.25">
      <c r="A28" t="s">
        <v>41</v>
      </c>
      <c r="B28" t="s">
        <v>34</v>
      </c>
      <c r="C28" t="s">
        <v>35</v>
      </c>
    </row>
    <row r="29" spans="1:3" x14ac:dyDescent="0.25">
      <c r="A29" t="s">
        <v>42</v>
      </c>
      <c r="B29" t="s">
        <v>34</v>
      </c>
      <c r="C29" t="s">
        <v>35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1B91-FDAC-46DC-BC87-F74B5F4DB8E0}">
  <dimension ref="A1"/>
  <sheetViews>
    <sheetView workbookViewId="0">
      <selection activeCell="E6" sqref="E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A960-F0C3-40DC-AD73-71A375AA38B2}">
  <dimension ref="A1"/>
  <sheetViews>
    <sheetView workbookViewId="0">
      <selection activeCell="B6" sqref="B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0059b3-9e68-4c3b-aca6-e5ac42173ebc" xsi:nil="true"/>
    <lcf76f155ced4ddcb4097134ff3c332f xmlns="3b0a0549-8beb-4018-b541-3baa3847e6ee">
      <Terms xmlns="http://schemas.microsoft.com/office/infopath/2007/PartnerControls"/>
    </lcf76f155ced4ddcb4097134ff3c332f>
    <AccountStatus xmlns="3b0a0549-8beb-4018-b541-3baa3847e6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52C3F8359D0A4B8E9446AEA3440C39" ma:contentTypeVersion="16" ma:contentTypeDescription="Create a new document." ma:contentTypeScope="" ma:versionID="50e68474dca0f080d33565bf833fe735">
  <xsd:schema xmlns:xsd="http://www.w3.org/2001/XMLSchema" xmlns:xs="http://www.w3.org/2001/XMLSchema" xmlns:p="http://schemas.microsoft.com/office/2006/metadata/properties" xmlns:ns2="3b0a0549-8beb-4018-b541-3baa3847e6ee" xmlns:ns3="370059b3-9e68-4c3b-aca6-e5ac42173ebc" targetNamespace="http://schemas.microsoft.com/office/2006/metadata/properties" ma:root="true" ma:fieldsID="f8564a59248d708f14e9697056ce6416" ns2:_="" ns3:_="">
    <xsd:import namespace="3b0a0549-8beb-4018-b541-3baa3847e6ee"/>
    <xsd:import namespace="370059b3-9e68-4c3b-aca6-e5ac42173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Account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a0549-8beb-4018-b541-3baa3847e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AccountStatus" ma:index="16" nillable="true" ma:displayName="Status" ma:format="Dropdown" ma:internalName="AccountStatus">
      <xsd:simpleType>
        <xsd:restriction base="dms:Choice">
          <xsd:enumeration value="Active"/>
          <xsd:enumeration value="Archived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3beb978-957d-46a2-9a24-771190ada3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059b3-9e68-4c3b-aca6-e5ac42173eb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8b28d1-0c0e-4993-ba06-06b993e8b12f}" ma:internalName="TaxCatchAll" ma:showField="CatchAllData" ma:web="370059b3-9e68-4c3b-aca6-e5ac42173e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49D90A-8141-4997-B305-3A73E2190712}">
  <ds:schemaRefs>
    <ds:schemaRef ds:uri="http://schemas.microsoft.com/office/2006/metadata/properties"/>
    <ds:schemaRef ds:uri="http://schemas.microsoft.com/office/infopath/2007/PartnerControls"/>
    <ds:schemaRef ds:uri="370059b3-9e68-4c3b-aca6-e5ac42173ebc"/>
    <ds:schemaRef ds:uri="3b0a0549-8beb-4018-b541-3baa3847e6ee"/>
  </ds:schemaRefs>
</ds:datastoreItem>
</file>

<file path=customXml/itemProps2.xml><?xml version="1.0" encoding="utf-8"?>
<ds:datastoreItem xmlns:ds="http://schemas.openxmlformats.org/officeDocument/2006/customXml" ds:itemID="{0E5C5F17-913B-48B5-AF06-ABC25AB741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134BD2-E565-4CB0-8F7A-B69F65B36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0a0549-8beb-4018-b541-3baa3847e6ee"/>
    <ds:schemaRef ds:uri="370059b3-9e68-4c3b-aca6-e5ac42173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14</vt:i4>
      </vt:variant>
    </vt:vector>
  </HeadingPairs>
  <TitlesOfParts>
    <vt:vector size="18" baseType="lpstr">
      <vt:lpstr>Cost Analysis</vt:lpstr>
      <vt:lpstr>Users</vt:lpstr>
      <vt:lpstr>Diagram_ComplexAccess</vt:lpstr>
      <vt:lpstr>Notes</vt:lpstr>
      <vt:lpstr>Amt_PPU_Users</vt:lpstr>
      <vt:lpstr>Amt_ProUsers</vt:lpstr>
      <vt:lpstr>Amt_UsersFinance</vt:lpstr>
      <vt:lpstr>Amt_UsersIT</vt:lpstr>
      <vt:lpstr>AmtProMonthly</vt:lpstr>
      <vt:lpstr>AmtTotalUsers</vt:lpstr>
      <vt:lpstr>F2_PayAsYouGo_Monthly</vt:lpstr>
      <vt:lpstr>F2_Reservation_Monthly</vt:lpstr>
      <vt:lpstr>F4_PayAsYouGo_Monthly</vt:lpstr>
      <vt:lpstr>F4_Reservation_Monthly</vt:lpstr>
      <vt:lpstr>F8_PayAsYouGo_Monthly</vt:lpstr>
      <vt:lpstr>F8_Reservation_Monthly</vt:lpstr>
      <vt:lpstr>PPU_MonthlyCost</vt:lpstr>
      <vt:lpstr>Pro_MonthlyCost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Hecht</dc:creator>
  <cp:lastModifiedBy>Matt Hecht</cp:lastModifiedBy>
  <dcterms:created xsi:type="dcterms:W3CDTF">2025-01-03T22:43:12Z</dcterms:created>
  <dcterms:modified xsi:type="dcterms:W3CDTF">2025-01-15T22:53:38Z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0x010100FE52C3F8359D0A4B8E9446AEA3440C39</vt:lpwstr>
  </property>
</Properties>
</file>